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xcb63893\Desktop\"/>
    </mc:Choice>
  </mc:AlternateContent>
  <xr:revisionPtr revIDLastSave="4" documentId="13_ncr:1_{85AA0225-31C1-4EAD-B1BC-253375666DFF}" xr6:coauthVersionLast="47" xr6:coauthVersionMax="47" xr10:uidLastSave="{5A4A8AA4-B5EE-4528-9F47-6A0A2279697B}"/>
  <bookViews>
    <workbookView xWindow="57480" yWindow="6960" windowWidth="29040" windowHeight="17640" xr2:uid="{D47F193B-0D72-4129-826A-AA918E87916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D14" i="1"/>
  <c r="E14" i="1"/>
  <c r="G15" i="1"/>
  <c r="D15" i="1"/>
  <c r="E15" i="1" s="1"/>
  <c r="G16" i="1"/>
  <c r="D16" i="1"/>
  <c r="E16" i="1"/>
  <c r="G17" i="1"/>
  <c r="D17" i="1"/>
  <c r="E17" i="1" s="1"/>
  <c r="D18" i="1"/>
  <c r="E18" i="1" s="1"/>
  <c r="G18" i="1"/>
  <c r="D19" i="1"/>
  <c r="E19" i="1" s="1"/>
  <c r="G19" i="1"/>
  <c r="G20" i="1"/>
  <c r="D20" i="1"/>
  <c r="E20" i="1" s="1"/>
  <c r="D13" i="1"/>
  <c r="E13" i="1" s="1"/>
  <c r="G13" i="1"/>
  <c r="D12" i="1"/>
  <c r="E12" i="1" s="1"/>
  <c r="G12" i="1"/>
  <c r="D11" i="1"/>
  <c r="E11" i="1"/>
  <c r="G11" i="1"/>
  <c r="D9" i="1"/>
  <c r="E9" i="1" s="1"/>
  <c r="G9" i="1"/>
  <c r="D10" i="1"/>
  <c r="E10" i="1" s="1"/>
  <c r="G10" i="1"/>
  <c r="D7" i="1"/>
  <c r="E7" i="1" s="1"/>
  <c r="G7" i="1"/>
  <c r="D8" i="1"/>
  <c r="E8" i="1"/>
  <c r="G8" i="1"/>
  <c r="C28" i="1"/>
  <c r="G4" i="1"/>
  <c r="G5" i="1"/>
  <c r="G6" i="1"/>
  <c r="G3" i="1"/>
  <c r="D4" i="1"/>
  <c r="E4" i="1" s="1"/>
  <c r="D5" i="1"/>
  <c r="E5" i="1" s="1"/>
  <c r="D6" i="1"/>
  <c r="E6" i="1" s="1"/>
  <c r="D3" i="1"/>
  <c r="E3" i="1" s="1"/>
</calcChain>
</file>

<file path=xl/sharedStrings.xml><?xml version="1.0" encoding="utf-8"?>
<sst xmlns="http://schemas.openxmlformats.org/spreadsheetml/2006/main" count="7" uniqueCount="7">
  <si>
    <t>Q (ang-1)</t>
  </si>
  <si>
    <t>Q (cm-1)</t>
  </si>
  <si>
    <t>Q^2 (cm-2)</t>
  </si>
  <si>
    <t>HWHM (meV)</t>
  </si>
  <si>
    <t>HWHM / hbar (s-1)</t>
  </si>
  <si>
    <t>cm^2 / s</t>
  </si>
  <si>
    <t>MSD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</si>
</sst>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4047615923009624"/>
                  <c:y val="-4.1763341067285384E-4"/>
                </c:manualLayout>
              </c:layout>
              <c:numFmt formatCode="0.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Sheet1!$E$3:$E$20</c:f>
              <c:numCache>
                <c:formatCode>General</c:formatCode>
                <c:ptCount val="18"/>
                <c:pt idx="0">
                  <c:v>1E+16</c:v>
                </c:pt>
                <c:pt idx="1">
                  <c:v>1.44E+16</c:v>
                </c:pt>
                <c:pt idx="2">
                  <c:v>1.96E+16</c:v>
                </c:pt>
                <c:pt idx="3">
                  <c:v>2.56E+16</c:v>
                </c:pt>
                <c:pt idx="4">
                  <c:v>3.24E+16</c:v>
                </c:pt>
                <c:pt idx="5">
                  <c:v>4E+16</c:v>
                </c:pt>
                <c:pt idx="6">
                  <c:v>4.8400000000000016E+16</c:v>
                </c:pt>
                <c:pt idx="7">
                  <c:v>5.76E+16</c:v>
                </c:pt>
                <c:pt idx="8">
                  <c:v>6.76E+16</c:v>
                </c:pt>
                <c:pt idx="9">
                  <c:v>7.84E+16</c:v>
                </c:pt>
                <c:pt idx="10">
                  <c:v>9E+16</c:v>
                </c:pt>
                <c:pt idx="11">
                  <c:v>1.024E+17</c:v>
                </c:pt>
                <c:pt idx="12">
                  <c:v>1.156E+17</c:v>
                </c:pt>
                <c:pt idx="13">
                  <c:v>1.296E+17</c:v>
                </c:pt>
                <c:pt idx="14">
                  <c:v>1.444E+17</c:v>
                </c:pt>
                <c:pt idx="15">
                  <c:v>1.6E+17</c:v>
                </c:pt>
                <c:pt idx="16">
                  <c:v>1.764E+17</c:v>
                </c:pt>
                <c:pt idx="17">
                  <c:v>1.9360000000000006E+17</c:v>
                </c:pt>
              </c:numCache>
            </c:numRef>
          </c:xVal>
          <c:yVal>
            <c:numRef>
              <c:f>Sheet1!$G$3:$G$20</c:f>
              <c:numCache>
                <c:formatCode>General</c:formatCode>
                <c:ptCount val="18"/>
                <c:pt idx="0">
                  <c:v>180796110604.67944</c:v>
                </c:pt>
                <c:pt idx="1">
                  <c:v>253722272865.3905</c:v>
                </c:pt>
                <c:pt idx="2">
                  <c:v>335764205408.69037</c:v>
                </c:pt>
                <c:pt idx="3">
                  <c:v>419325432999.0885</c:v>
                </c:pt>
                <c:pt idx="4">
                  <c:v>546946216955.33276</c:v>
                </c:pt>
                <c:pt idx="5">
                  <c:v>674567000911.57703</c:v>
                </c:pt>
                <c:pt idx="6">
                  <c:v>832573685809.78442</c:v>
                </c:pt>
                <c:pt idx="7">
                  <c:v>1004254026131.8749</c:v>
                </c:pt>
                <c:pt idx="8">
                  <c:v>1224551807961.1062</c:v>
                </c:pt>
                <c:pt idx="9">
                  <c:v>1382558492859.3135</c:v>
                </c:pt>
                <c:pt idx="10">
                  <c:v>1656031601336.9797</c:v>
                </c:pt>
                <c:pt idx="11">
                  <c:v>1899118808872.6831</c:v>
                </c:pt>
                <c:pt idx="12">
                  <c:v>2309328471589.1826</c:v>
                </c:pt>
                <c:pt idx="13">
                  <c:v>2613187481008.812</c:v>
                </c:pt>
                <c:pt idx="14">
                  <c:v>3099361896080.2192</c:v>
                </c:pt>
                <c:pt idx="15">
                  <c:v>3463992707383.7739</c:v>
                </c:pt>
                <c:pt idx="16">
                  <c:v>3798237617745.3662</c:v>
                </c:pt>
                <c:pt idx="17">
                  <c:v>4299604983287.7549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7B-4145-8239-43B2DFEBC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72992"/>
        <c:axId val="418206032"/>
      </c:scatterChart>
      <c:valAx>
        <c:axId val="34157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06032"/>
        <c:crosses val="autoZero"/>
        <c:crossBetween val="midCat"/>
      </c:valAx>
      <c:valAx>
        <c:axId val="41820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1009650</xdr:colOff>
      <xdr:row>23</xdr:row>
      <xdr:rowOff>9525</xdr:rowOff>
    </xdr:from>
    <xdr:to>
      <xdr:col>12</xdr:col>
      <xdr:colOff>371475</xdr:colOff>
      <xdr:row>38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8AD075-92A0-BCD6-FE87-4B0D515ED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806D-51CC-46CF-9603-DEC382172362}">
  <dimension ref="B2:G28"/>
  <sheetViews>
    <sheetView tabSelected="1" workbookViewId="0">
      <selection activeCell="J7" sqref="J7"/>
    </sheetView>
  </sheetViews>
  <sheetFormatPr defaultRowHeight="14.45"/>
  <cols>
    <col min="3" max="3" width="11.85546875" bestFit="1" customWidth="1"/>
    <col min="4" max="4" width="12" bestFit="1" customWidth="1"/>
    <col min="5" max="5" width="16.5703125" bestFit="1" customWidth="1"/>
    <col min="6" max="6" width="14.28515625" bestFit="1" customWidth="1"/>
    <col min="7" max="7" width="11.85546875" bestFit="1" customWidth="1"/>
    <col min="8" max="8" width="10.42578125" bestFit="1" customWidth="1"/>
  </cols>
  <sheetData>
    <row r="2" spans="3:7"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3:7">
      <c r="C3">
        <v>1</v>
      </c>
      <c r="D3">
        <f>C3*100000000</f>
        <v>100000000</v>
      </c>
      <c r="E3">
        <f>D3^2</f>
        <v>1E+16</v>
      </c>
      <c r="F3">
        <v>0.11899999999999999</v>
      </c>
      <c r="G3">
        <f>F3 / 0.0000000000006582</f>
        <v>180796110604.67944</v>
      </c>
    </row>
    <row r="4" spans="3:7">
      <c r="C4">
        <v>1.2</v>
      </c>
      <c r="D4">
        <f>C4*100000000</f>
        <v>120000000</v>
      </c>
      <c r="E4">
        <f>D4^2</f>
        <v>1.44E+16</v>
      </c>
      <c r="F4">
        <v>0.16700000000000001</v>
      </c>
      <c r="G4">
        <f t="shared" ref="G4:G8" si="0">F4 / 0.0000000000006582</f>
        <v>253722272865.3905</v>
      </c>
    </row>
    <row r="5" spans="3:7">
      <c r="C5">
        <v>1.4</v>
      </c>
      <c r="D5">
        <f>C5*100000000</f>
        <v>140000000</v>
      </c>
      <c r="E5">
        <f>D5^2</f>
        <v>1.96E+16</v>
      </c>
      <c r="F5">
        <v>0.221</v>
      </c>
      <c r="G5">
        <f t="shared" si="0"/>
        <v>335764205408.69037</v>
      </c>
    </row>
    <row r="6" spans="3:7">
      <c r="C6">
        <v>1.6</v>
      </c>
      <c r="D6">
        <f>C6*100000000</f>
        <v>160000000</v>
      </c>
      <c r="E6">
        <f>D6^2</f>
        <v>2.56E+16</v>
      </c>
      <c r="F6">
        <v>0.27600000000000002</v>
      </c>
      <c r="G6">
        <f t="shared" si="0"/>
        <v>419325432999.0885</v>
      </c>
    </row>
    <row r="7" spans="3:7">
      <c r="C7">
        <v>1.8</v>
      </c>
      <c r="D7">
        <f>C7*100000000</f>
        <v>180000000</v>
      </c>
      <c r="E7">
        <f>D7^2</f>
        <v>3.24E+16</v>
      </c>
      <c r="F7">
        <v>0.36</v>
      </c>
      <c r="G7">
        <f t="shared" si="0"/>
        <v>546946216955.33276</v>
      </c>
    </row>
    <row r="8" spans="3:7">
      <c r="C8">
        <v>2</v>
      </c>
      <c r="D8">
        <f>C8*100000000</f>
        <v>200000000</v>
      </c>
      <c r="E8">
        <f>D8^2</f>
        <v>4E+16</v>
      </c>
      <c r="F8">
        <v>0.44400000000000001</v>
      </c>
      <c r="G8">
        <f t="shared" si="0"/>
        <v>674567000911.57703</v>
      </c>
    </row>
    <row r="9" spans="3:7">
      <c r="C9">
        <v>2.2000000000000002</v>
      </c>
      <c r="D9">
        <f>C9*100000000</f>
        <v>220000000.00000003</v>
      </c>
      <c r="E9">
        <f>D9^2</f>
        <v>4.8400000000000016E+16</v>
      </c>
      <c r="F9">
        <v>0.54800000000000004</v>
      </c>
      <c r="G9">
        <f>F9 / 0.0000000000006582</f>
        <v>832573685809.78442</v>
      </c>
    </row>
    <row r="10" spans="3:7">
      <c r="C10">
        <v>2.4</v>
      </c>
      <c r="D10">
        <f>C10*100000000</f>
        <v>240000000</v>
      </c>
      <c r="E10">
        <f>D10^2</f>
        <v>5.76E+16</v>
      </c>
      <c r="F10">
        <v>0.66100000000000003</v>
      </c>
      <c r="G10">
        <f>F10 / 0.0000000000006582</f>
        <v>1004254026131.8749</v>
      </c>
    </row>
    <row r="11" spans="3:7">
      <c r="C11">
        <v>2.6</v>
      </c>
      <c r="D11">
        <f>C11*100000000</f>
        <v>260000000</v>
      </c>
      <c r="E11">
        <f>D11^2</f>
        <v>6.76E+16</v>
      </c>
      <c r="F11">
        <v>0.80600000000000005</v>
      </c>
      <c r="G11">
        <f>F11 / 0.0000000000006582</f>
        <v>1224551807961.1062</v>
      </c>
    </row>
    <row r="12" spans="3:7">
      <c r="C12">
        <v>2.8</v>
      </c>
      <c r="D12">
        <f>C12*100000000</f>
        <v>280000000</v>
      </c>
      <c r="E12">
        <f>D12^2</f>
        <v>7.84E+16</v>
      </c>
      <c r="F12">
        <v>0.91</v>
      </c>
      <c r="G12">
        <f>F12 / 0.0000000000006582</f>
        <v>1382558492859.3135</v>
      </c>
    </row>
    <row r="13" spans="3:7">
      <c r="C13">
        <v>3</v>
      </c>
      <c r="D13">
        <f>C13*100000000</f>
        <v>300000000</v>
      </c>
      <c r="E13">
        <f>D13^2</f>
        <v>9E+16</v>
      </c>
      <c r="F13">
        <v>1.0900000000000001</v>
      </c>
      <c r="G13">
        <f>F13 / 0.0000000000006582</f>
        <v>1656031601336.9797</v>
      </c>
    </row>
    <row r="14" spans="3:7">
      <c r="C14">
        <v>3.2</v>
      </c>
      <c r="D14">
        <f>C14*100000000</f>
        <v>320000000</v>
      </c>
      <c r="E14">
        <f>D14^2</f>
        <v>1.024E+17</v>
      </c>
      <c r="F14">
        <v>1.25</v>
      </c>
      <c r="G14">
        <f>F14 / 0.0000000000006582</f>
        <v>1899118808872.6831</v>
      </c>
    </row>
    <row r="15" spans="3:7">
      <c r="C15">
        <v>3.4</v>
      </c>
      <c r="D15">
        <f>C15*100000000</f>
        <v>340000000</v>
      </c>
      <c r="E15">
        <f>D15^2</f>
        <v>1.156E+17</v>
      </c>
      <c r="F15">
        <v>1.52</v>
      </c>
      <c r="G15">
        <f>F15 / 0.0000000000006582</f>
        <v>2309328471589.1826</v>
      </c>
    </row>
    <row r="16" spans="3:7">
      <c r="C16">
        <v>3.6</v>
      </c>
      <c r="D16">
        <f>C16*100000000</f>
        <v>360000000</v>
      </c>
      <c r="E16">
        <f>D16^2</f>
        <v>1.296E+17</v>
      </c>
      <c r="F16">
        <v>1.72</v>
      </c>
      <c r="G16">
        <f>F16 / 0.0000000000006582</f>
        <v>2613187481008.812</v>
      </c>
    </row>
    <row r="17" spans="2:7">
      <c r="C17">
        <v>3.8</v>
      </c>
      <c r="D17">
        <f>C17*100000000</f>
        <v>380000000</v>
      </c>
      <c r="E17">
        <f>D17^2</f>
        <v>1.444E+17</v>
      </c>
      <c r="F17">
        <v>2.04</v>
      </c>
      <c r="G17">
        <f>F17 / 0.0000000000006582</f>
        <v>3099361896080.2192</v>
      </c>
    </row>
    <row r="18" spans="2:7">
      <c r="C18">
        <v>4</v>
      </c>
      <c r="D18">
        <f>C18*100000000</f>
        <v>400000000</v>
      </c>
      <c r="E18">
        <f>D18^2</f>
        <v>1.6E+17</v>
      </c>
      <c r="F18">
        <v>2.2799999999999998</v>
      </c>
      <c r="G18">
        <f>F18 / 0.0000000000006582</f>
        <v>3463992707383.7739</v>
      </c>
    </row>
    <row r="19" spans="2:7">
      <c r="C19">
        <v>4.2</v>
      </c>
      <c r="D19">
        <f>C19*100000000</f>
        <v>420000000</v>
      </c>
      <c r="E19">
        <f>D19^2</f>
        <v>1.764E+17</v>
      </c>
      <c r="F19">
        <v>2.5</v>
      </c>
      <c r="G19">
        <f>F19 / 0.0000000000006582</f>
        <v>3798237617745.3662</v>
      </c>
    </row>
    <row r="20" spans="2:7">
      <c r="C20">
        <v>4.4000000000000004</v>
      </c>
      <c r="D20">
        <f>C20*100000000</f>
        <v>440000000.00000006</v>
      </c>
      <c r="E20">
        <f>D20^2</f>
        <v>1.9360000000000006E+17</v>
      </c>
      <c r="F20">
        <v>2.83</v>
      </c>
      <c r="G20">
        <f>F20 / 0.0000000000006582</f>
        <v>4299604983287.7549</v>
      </c>
    </row>
    <row r="27" spans="2:7">
      <c r="C27" t="s">
        <v>5</v>
      </c>
    </row>
    <row r="28" spans="2:7">
      <c r="B28" t="s">
        <v>6</v>
      </c>
      <c r="C28">
        <f>0.7 / 60000 / 6</f>
        <v>1.9444444444444444E-6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Cheng, Chi (STFC,RAL,ISIS)</dc:creator>
  <cp:keywords/>
  <dc:description/>
  <cp:lastModifiedBy>Cheng, Chi (STFC,RAL,ISIS)</cp:lastModifiedBy>
  <cp:revision/>
  <dcterms:created xsi:type="dcterms:W3CDTF">2024-08-16T15:41:25Z</dcterms:created>
  <dcterms:modified xsi:type="dcterms:W3CDTF">2024-08-16T18:44:55Z</dcterms:modified>
  <cp:category/>
  <cp:contentStatus/>
</cp:coreProperties>
</file>